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FirstGitRepo\MapUp-DA-Assessment-2024\"/>
    </mc:Choice>
  </mc:AlternateContent>
  <xr:revisionPtr revIDLastSave="0" documentId="13_ncr:1_{A6664811-8F2B-4034-9C79-96040FA6B40C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3" sheetId="16" r:id="rId4"/>
    <sheet name="Task_2" sheetId="18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9" l="1"/>
  <c r="D13" i="19"/>
  <c r="D14" i="19"/>
  <c r="D15" i="19"/>
  <c r="D16" i="19"/>
  <c r="D17" i="19"/>
  <c r="D18" i="19"/>
  <c r="D19" i="19"/>
  <c r="D20" i="19"/>
  <c r="D21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Y2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18" i="15"/>
  <c r="D14" i="15"/>
  <c r="D5" i="15"/>
  <c r="D12" i="19"/>
</calcChain>
</file>

<file path=xl/sharedStrings.xml><?xml version="1.0" encoding="utf-8"?>
<sst xmlns="http://schemas.openxmlformats.org/spreadsheetml/2006/main" count="426" uniqueCount="191">
  <si>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</si>
  <si>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</si>
  <si>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</si>
  <si>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</si>
  <si>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</si>
  <si>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</si>
  <si>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</si>
  <si>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</si>
  <si>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</si>
  <si>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</si>
  <si>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</si>
  <si>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</si>
  <si>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</si>
  <si>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</si>
  <si>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</si>
  <si>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</si>
  <si>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</si>
  <si>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</si>
  <si>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</si>
  <si>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</si>
  <si>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</si>
  <si>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</si>
  <si>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</si>
  <si>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</si>
  <si>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</si>
  <si>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</si>
  <si>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</si>
  <si>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</si>
  <si>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</si>
  <si>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</si>
  <si>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</si>
  <si>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</si>
  <si>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</si>
  <si>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</si>
  <si>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</si>
  <si>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</si>
  <si>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</si>
  <si>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</si>
  <si>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</si>
  <si>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</si>
  <si>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</si>
  <si>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</si>
  <si>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</si>
  <si>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</si>
  <si>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</si>
  <si>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</si>
  <si>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</si>
  <si>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</si>
  <si>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</si>
  <si>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</si>
  <si>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</si>
  <si>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</si>
  <si>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</si>
  <si>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</si>
  <si>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</si>
  <si>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</si>
  <si>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</si>
  <si>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</si>
  <si>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</si>
  <si>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</si>
  <si>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</si>
  <si>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</si>
  <si>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</si>
  <si>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</si>
  <si>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</si>
  <si>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</si>
  <si>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</si>
  <si>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</si>
  <si>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</si>
  <si>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</si>
  <si>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</si>
  <si>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</si>
  <si>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</si>
  <si>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</si>
  <si>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</si>
  <si>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</si>
  <si>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</si>
  <si>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</si>
  <si>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</si>
  <si>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</si>
  <si>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</si>
  <si>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</si>
  <si>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</si>
  <si>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</si>
  <si>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</si>
  <si>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</si>
  <si>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</si>
  <si>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</si>
  <si>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</si>
  <si>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</si>
  <si>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</si>
  <si>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</si>
  <si>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</si>
  <si>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</si>
  <si>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</si>
  <si>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</si>
  <si>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</si>
  <si>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</si>
  <si>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</si>
  <si>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</si>
  <si>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</si>
  <si>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</si>
  <si>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</si>
  <si>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</si>
  <si>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</si>
  <si>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</si>
  <si>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</si>
  <si>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</si>
  <si>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</si>
  <si>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</si>
  <si>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</si>
  <si>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</si>
  <si>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</si>
  <si>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</si>
  <si>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</si>
  <si>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</si>
  <si>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</si>
  <si>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</si>
  <si>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</si>
  <si>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</si>
  <si>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</si>
  <si>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</si>
  <si>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</si>
  <si>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</si>
  <si>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</si>
  <si>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</si>
  <si>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</si>
  <si>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</si>
  <si>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</si>
  <si>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</si>
  <si>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</si>
  <si>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</si>
  <si>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</si>
  <si>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</si>
  <si>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</si>
  <si>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</si>
  <si>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</si>
  <si>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</si>
  <si>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</si>
  <si>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</si>
  <si>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</si>
  <si>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</si>
  <si>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</si>
  <si>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</si>
  <si>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</si>
  <si>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</si>
  <si>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</si>
  <si>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</si>
  <si>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</si>
  <si>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</si>
  <si>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</si>
  <si>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</si>
  <si>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</si>
  <si>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</si>
  <si>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</si>
  <si>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</si>
  <si>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</si>
  <si>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</si>
  <si>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</si>
  <si>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</si>
  <si>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</si>
  <si>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</si>
  <si>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</si>
  <si>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</si>
  <si>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</si>
  <si>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</si>
  <si>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</si>
  <si>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</si>
  <si>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</si>
  <si>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</si>
  <si>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</si>
  <si>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</si>
  <si>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</si>
  <si>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</si>
  <si>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</si>
  <si>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</si>
  <si>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Done</t>
  </si>
  <si>
    <t>Ans.</t>
  </si>
  <si>
    <t>First we Go on VIEW then there we select the (Freeze Panes) then we choose the option (Freeze top row)</t>
  </si>
  <si>
    <t>Answer</t>
  </si>
  <si>
    <t>NEW_DATE</t>
  </si>
  <si>
    <t xml:space="preserve">First we will take the reference of the existing cell , then use the  TEXT to get </t>
  </si>
  <si>
    <t>the date formatted as we want and then UPPER to convert to upp case.</t>
  </si>
  <si>
    <t>Select all the three columns go to the CONDITIONAL FORMATING , then we will</t>
  </si>
  <si>
    <t>click on Highlight cell rules &gt; More Rules..&gt; Then their new formattig Rule is Open</t>
  </si>
  <si>
    <t>select equal to cell value give the value -1 then press on formant to select the col</t>
  </si>
  <si>
    <t>or red. Repeat this for Highlight the cell which contain 0.</t>
  </si>
  <si>
    <t>The Text to Columns feature in Excel allows you to split a single column of data into multiple columns based on a delimiter. In this case, we will use the hyphen - as the delimiter to split the values into separate columns.</t>
  </si>
  <si>
    <t>New_sales</t>
  </si>
  <si>
    <t>I have used here IFERROR Function to do that.</t>
  </si>
  <si>
    <t>Text to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</si>
</sst>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4" fillId="6" borderId="0" xfId="0" applyFont="1" applyFill="1" applyAlignment="1">
      <alignment horizontal="center"/>
    </xf>
    <xf numFmtId="0" fontId="8" fillId="6" borderId="0" xfId="0" applyFont="1" applyFill="1"/>
    <xf numFmtId="0" fontId="3" fillId="6" borderId="0" xfId="0" applyFont="1" applyFill="1"/>
    <xf numFmtId="0" fontId="3" fillId="7" borderId="0" xfId="0" applyFont="1" applyFill="1"/>
    <xf numFmtId="0" fontId="7" fillId="6" borderId="0" xfId="0" applyFont="1" applyFill="1"/>
    <xf numFmtId="14" fontId="3" fillId="6" borderId="0" xfId="0" applyNumberFormat="1" applyFont="1" applyFill="1"/>
    <xf numFmtId="0" fontId="14" fillId="7" borderId="0" xfId="0" applyFont="1" applyFill="1"/>
    <xf numFmtId="0" fontId="3" fillId="8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175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7" t="s">
        <v>169</v>
      </c>
      <c r="B9" s="26" t="s">
        <v>167</v>
      </c>
    </row>
    <row r="10" spans="1:3" x14ac:dyDescent="0.3">
      <c r="A10" s="36" t="s">
        <v>170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96</v>
      </c>
      <c r="B14" s="38">
        <v>40</v>
      </c>
    </row>
    <row r="15" spans="1:3" x14ac:dyDescent="0.3">
      <c r="A15" s="39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M1" zoomScaleNormal="100" workbookViewId="0">
      <pane ySplit="1" topLeftCell="A16" activePane="bottomLeft" state="frozen"/>
      <selection activeCell="B1" sqref="B1"/>
      <selection pane="bottomLeft" activeCell="Y2" sqref="Y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0.109375" style="1" customWidth="1"/>
    <col min="26" max="16384" width="9" style="1"/>
  </cols>
  <sheetData>
    <row r="1" spans="1:25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104</v>
      </c>
      <c r="Y1" s="3" t="s">
        <v>180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UPPER(TEXT(X1:X40, "YYYY-MM-DD"))</f>
        <v>2023-05-05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UPPER(TEXT(X2:X41, "YYYY-MM-DD"))</f>
        <v>2023-05-02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 t="shared" si="0"/>
        <v>2023-05-13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f t="shared" si="0"/>
        <v>2023-07-09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f t="shared" si="0"/>
        <v>2023-08-04</v>
      </c>
    </row>
    <row r="27" spans="1:25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 t="shared" si="0"/>
        <v>2023-09-10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J2:L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I56"/>
  <sheetViews>
    <sheetView zoomScaleNormal="100" workbookViewId="0">
      <pane ySplit="1" topLeftCell="A2" activePane="bottomLeft" state="frozen"/>
      <selection activeCell="G1" sqref="G1"/>
      <selection pane="bottomLeft" activeCell="K8" sqref="K8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158</v>
      </c>
      <c r="C2" s="2"/>
    </row>
    <row r="3" spans="1:5" x14ac:dyDescent="0.3">
      <c r="A3" s="6">
        <v>1</v>
      </c>
      <c r="B3" s="2" t="s">
        <v>106</v>
      </c>
      <c r="C3" s="2" t="s">
        <v>45</v>
      </c>
      <c r="D3" s="1" t="s">
        <v>176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1" t="s">
        <v>176</v>
      </c>
      <c r="E4" s="1">
        <v>5</v>
      </c>
    </row>
    <row r="5" spans="1:5" x14ac:dyDescent="0.3">
      <c r="A5" s="6">
        <v>3</v>
      </c>
      <c r="B5" s="2" t="s">
        <v>102</v>
      </c>
      <c r="C5" s="35" t="s">
        <v>103</v>
      </c>
      <c r="D5" s="1">
        <f>SUMIF(Dataset!H:H, "&gt;20")</f>
        <v>1473.0000000000002</v>
      </c>
      <c r="E5" s="1">
        <v>10</v>
      </c>
    </row>
    <row r="6" spans="1:5" x14ac:dyDescent="0.3">
      <c r="A6" s="6">
        <v>4</v>
      </c>
      <c r="B6" s="2" t="s">
        <v>105</v>
      </c>
      <c r="C6" s="2"/>
      <c r="D6" s="1" t="s">
        <v>176</v>
      </c>
      <c r="E6" s="1">
        <v>5</v>
      </c>
    </row>
    <row r="7" spans="1:5" x14ac:dyDescent="0.3">
      <c r="A7" s="2"/>
      <c r="B7" s="2"/>
      <c r="C7" s="2"/>
    </row>
    <row r="10" spans="1:5" x14ac:dyDescent="0.3">
      <c r="A10" s="47">
        <v>2</v>
      </c>
      <c r="B10" s="48" t="s">
        <v>46</v>
      </c>
    </row>
    <row r="11" spans="1:5" x14ac:dyDescent="0.3">
      <c r="A11" s="50" t="s">
        <v>177</v>
      </c>
      <c r="B11" s="54" t="s">
        <v>178</v>
      </c>
      <c r="C11" s="54"/>
    </row>
    <row r="13" spans="1:5" x14ac:dyDescent="0.3">
      <c r="E13" s="2"/>
    </row>
    <row r="14" spans="1:5" x14ac:dyDescent="0.3">
      <c r="A14" s="47">
        <v>3</v>
      </c>
      <c r="B14" s="48" t="s">
        <v>102</v>
      </c>
      <c r="C14" s="53" t="s">
        <v>179</v>
      </c>
      <c r="D14" s="50">
        <f>SUMIF(Dataset!H:H, "&gt;20")</f>
        <v>1473.0000000000002</v>
      </c>
      <c r="E14" s="2"/>
    </row>
    <row r="17" spans="1:9" x14ac:dyDescent="0.3">
      <c r="A17" s="47">
        <v>4</v>
      </c>
      <c r="B17" s="48" t="s">
        <v>105</v>
      </c>
      <c r="C17" s="48"/>
      <c r="D17" s="49"/>
      <c r="E17" s="49"/>
      <c r="F17" s="49"/>
      <c r="G17" s="49"/>
      <c r="H17" s="51" t="s">
        <v>104</v>
      </c>
      <c r="I17" s="50" t="s">
        <v>180</v>
      </c>
    </row>
    <row r="18" spans="1:9" x14ac:dyDescent="0.3">
      <c r="B18" s="54" t="s">
        <v>181</v>
      </c>
      <c r="H18" s="52">
        <v>45051</v>
      </c>
      <c r="I18" s="50" t="str">
        <f>UPPER(TEXT(H18,"YYYY-MM-DD"))</f>
        <v>2023-05-05</v>
      </c>
    </row>
    <row r="19" spans="1:9" x14ac:dyDescent="0.3">
      <c r="B19" s="54" t="s">
        <v>182</v>
      </c>
      <c r="H19" s="52">
        <v>45048</v>
      </c>
      <c r="I19" s="50" t="str">
        <f t="shared" ref="I19:I56" si="0">UPPER(TEXT(H19,"YYYY-MM-DD"))</f>
        <v>2023-05-02</v>
      </c>
    </row>
    <row r="20" spans="1:9" x14ac:dyDescent="0.3">
      <c r="H20" s="52">
        <v>45055</v>
      </c>
      <c r="I20" s="50" t="str">
        <f t="shared" si="0"/>
        <v>2023-05-09</v>
      </c>
    </row>
    <row r="21" spans="1:9" x14ac:dyDescent="0.3">
      <c r="H21" s="52">
        <v>45059</v>
      </c>
      <c r="I21" s="50" t="str">
        <f t="shared" si="0"/>
        <v>2023-05-13</v>
      </c>
    </row>
    <row r="22" spans="1:9" x14ac:dyDescent="0.3">
      <c r="A22" s="47">
        <v>1</v>
      </c>
      <c r="B22" s="48" t="s">
        <v>106</v>
      </c>
      <c r="C22" s="48" t="s">
        <v>45</v>
      </c>
      <c r="H22" s="52">
        <v>45076</v>
      </c>
      <c r="I22" s="50" t="str">
        <f t="shared" si="0"/>
        <v>2023-05-30</v>
      </c>
    </row>
    <row r="23" spans="1:9" x14ac:dyDescent="0.3">
      <c r="A23" s="50" t="s">
        <v>177</v>
      </c>
      <c r="B23" s="54" t="s">
        <v>183</v>
      </c>
      <c r="H23" s="52">
        <v>45057</v>
      </c>
      <c r="I23" s="50" t="str">
        <f t="shared" si="0"/>
        <v>2023-05-11</v>
      </c>
    </row>
    <row r="24" spans="1:9" x14ac:dyDescent="0.3">
      <c r="B24" s="54" t="s">
        <v>184</v>
      </c>
      <c r="H24" s="52">
        <v>45052</v>
      </c>
      <c r="I24" s="50" t="str">
        <f t="shared" si="0"/>
        <v>2023-05-06</v>
      </c>
    </row>
    <row r="25" spans="1:9" x14ac:dyDescent="0.3">
      <c r="B25" s="54" t="s">
        <v>185</v>
      </c>
      <c r="H25" s="52">
        <v>45098</v>
      </c>
      <c r="I25" s="50" t="str">
        <f t="shared" si="0"/>
        <v>2023-06-21</v>
      </c>
    </row>
    <row r="26" spans="1:9" x14ac:dyDescent="0.3">
      <c r="B26" s="54" t="s">
        <v>186</v>
      </c>
      <c r="H26" s="52">
        <v>45092</v>
      </c>
      <c r="I26" s="50" t="str">
        <f t="shared" si="0"/>
        <v>2023-06-15</v>
      </c>
    </row>
    <row r="27" spans="1:9" x14ac:dyDescent="0.3">
      <c r="H27" s="52">
        <v>45104</v>
      </c>
      <c r="I27" s="50" t="str">
        <f t="shared" si="0"/>
        <v>2023-06-27</v>
      </c>
    </row>
    <row r="28" spans="1:9" x14ac:dyDescent="0.3">
      <c r="H28" s="52">
        <v>45116</v>
      </c>
      <c r="I28" s="50" t="str">
        <f t="shared" si="0"/>
        <v>2023-07-09</v>
      </c>
    </row>
    <row r="29" spans="1:9" x14ac:dyDescent="0.3">
      <c r="H29" s="52">
        <v>45110</v>
      </c>
      <c r="I29" s="50" t="str">
        <f t="shared" si="0"/>
        <v>2023-07-03</v>
      </c>
    </row>
    <row r="30" spans="1:9" x14ac:dyDescent="0.3">
      <c r="H30" s="52">
        <v>45095</v>
      </c>
      <c r="I30" s="50" t="str">
        <f t="shared" si="0"/>
        <v>2023-06-18</v>
      </c>
    </row>
    <row r="31" spans="1:9" x14ac:dyDescent="0.3">
      <c r="H31" s="52">
        <v>45113</v>
      </c>
      <c r="I31" s="50" t="str">
        <f t="shared" si="0"/>
        <v>2023-07-06</v>
      </c>
    </row>
    <row r="32" spans="1:9" x14ac:dyDescent="0.3">
      <c r="H32" s="52">
        <v>45063</v>
      </c>
      <c r="I32" s="50" t="str">
        <f t="shared" si="0"/>
        <v>2023-05-17</v>
      </c>
    </row>
    <row r="33" spans="8:9" x14ac:dyDescent="0.3">
      <c r="H33" s="52">
        <v>45071</v>
      </c>
      <c r="I33" s="50" t="str">
        <f t="shared" si="0"/>
        <v>2023-05-25</v>
      </c>
    </row>
    <row r="34" spans="8:9" x14ac:dyDescent="0.3">
      <c r="H34" s="52">
        <v>45085</v>
      </c>
      <c r="I34" s="50" t="str">
        <f t="shared" si="0"/>
        <v>2023-06-08</v>
      </c>
    </row>
    <row r="35" spans="8:9" x14ac:dyDescent="0.3">
      <c r="H35" s="52">
        <v>45099</v>
      </c>
      <c r="I35" s="50" t="str">
        <f t="shared" si="0"/>
        <v>2023-06-22</v>
      </c>
    </row>
    <row r="36" spans="8:9" x14ac:dyDescent="0.3">
      <c r="H36" s="52">
        <v>45091</v>
      </c>
      <c r="I36" s="50" t="str">
        <f t="shared" si="0"/>
        <v>2023-06-14</v>
      </c>
    </row>
    <row r="37" spans="8:9" x14ac:dyDescent="0.3">
      <c r="H37" s="52">
        <v>45079</v>
      </c>
      <c r="I37" s="50" t="str">
        <f t="shared" si="0"/>
        <v>2023-06-02</v>
      </c>
    </row>
    <row r="38" spans="8:9" x14ac:dyDescent="0.3">
      <c r="H38" s="52">
        <v>45075</v>
      </c>
      <c r="I38" s="50" t="str">
        <f t="shared" si="0"/>
        <v>2023-05-29</v>
      </c>
    </row>
    <row r="39" spans="8:9" x14ac:dyDescent="0.3">
      <c r="H39" s="52">
        <v>45110</v>
      </c>
      <c r="I39" s="50" t="str">
        <f t="shared" si="0"/>
        <v>2023-07-03</v>
      </c>
    </row>
    <row r="40" spans="8:9" x14ac:dyDescent="0.3">
      <c r="H40" s="52">
        <v>45114</v>
      </c>
      <c r="I40" s="50" t="str">
        <f t="shared" si="0"/>
        <v>2023-07-07</v>
      </c>
    </row>
    <row r="41" spans="8:9" x14ac:dyDescent="0.3">
      <c r="H41" s="52">
        <v>45118</v>
      </c>
      <c r="I41" s="50" t="str">
        <f t="shared" si="0"/>
        <v>2023-07-11</v>
      </c>
    </row>
    <row r="42" spans="8:9" x14ac:dyDescent="0.3">
      <c r="H42" s="52">
        <v>45142</v>
      </c>
      <c r="I42" s="50" t="str">
        <f t="shared" si="0"/>
        <v>2023-08-04</v>
      </c>
    </row>
    <row r="43" spans="8:9" x14ac:dyDescent="0.3">
      <c r="H43" s="52">
        <v>45146</v>
      </c>
      <c r="I43" s="50" t="str">
        <f t="shared" si="0"/>
        <v>2023-08-08</v>
      </c>
    </row>
    <row r="44" spans="8:9" x14ac:dyDescent="0.3">
      <c r="H44" s="52">
        <v>45108</v>
      </c>
      <c r="I44" s="50" t="str">
        <f t="shared" si="0"/>
        <v>2023-07-01</v>
      </c>
    </row>
    <row r="45" spans="8:9" x14ac:dyDescent="0.3">
      <c r="H45" s="52">
        <v>45153</v>
      </c>
      <c r="I45" s="50" t="str">
        <f t="shared" si="0"/>
        <v>2023-08-15</v>
      </c>
    </row>
    <row r="46" spans="8:9" x14ac:dyDescent="0.3">
      <c r="H46" s="52">
        <v>45150</v>
      </c>
      <c r="I46" s="50" t="str">
        <f t="shared" si="0"/>
        <v>2023-08-12</v>
      </c>
    </row>
    <row r="47" spans="8:9" x14ac:dyDescent="0.3">
      <c r="H47" s="52">
        <v>45157</v>
      </c>
      <c r="I47" s="50" t="str">
        <f t="shared" si="0"/>
        <v>2023-08-19</v>
      </c>
    </row>
    <row r="48" spans="8:9" x14ac:dyDescent="0.3">
      <c r="H48" s="52">
        <v>45143</v>
      </c>
      <c r="I48" s="50" t="str">
        <f t="shared" si="0"/>
        <v>2023-08-05</v>
      </c>
    </row>
    <row r="49" spans="8:9" x14ac:dyDescent="0.3">
      <c r="H49" s="52">
        <v>45166</v>
      </c>
      <c r="I49" s="50" t="str">
        <f t="shared" si="0"/>
        <v>2023-08-28</v>
      </c>
    </row>
    <row r="50" spans="8:9" x14ac:dyDescent="0.3">
      <c r="H50" s="52">
        <v>45162</v>
      </c>
      <c r="I50" s="50" t="str">
        <f t="shared" si="0"/>
        <v>2023-08-24</v>
      </c>
    </row>
    <row r="51" spans="8:9" x14ac:dyDescent="0.3">
      <c r="H51" s="52">
        <v>45160</v>
      </c>
      <c r="I51" s="50" t="str">
        <f t="shared" si="0"/>
        <v>2023-08-22</v>
      </c>
    </row>
    <row r="52" spans="8:9" x14ac:dyDescent="0.3">
      <c r="H52" s="52">
        <v>45179</v>
      </c>
      <c r="I52" s="50" t="str">
        <f t="shared" si="0"/>
        <v>2023-09-10</v>
      </c>
    </row>
    <row r="53" spans="8:9" x14ac:dyDescent="0.3">
      <c r="H53" s="52">
        <v>45157</v>
      </c>
      <c r="I53" s="50" t="str">
        <f t="shared" si="0"/>
        <v>2023-08-19</v>
      </c>
    </row>
    <row r="54" spans="8:9" x14ac:dyDescent="0.3">
      <c r="H54" s="52">
        <v>45143</v>
      </c>
      <c r="I54" s="50" t="str">
        <f t="shared" si="0"/>
        <v>2023-08-05</v>
      </c>
    </row>
    <row r="55" spans="8:9" x14ac:dyDescent="0.3">
      <c r="H55" s="52">
        <v>45166</v>
      </c>
      <c r="I55" s="50" t="str">
        <f t="shared" si="0"/>
        <v>2023-08-28</v>
      </c>
    </row>
    <row r="56" spans="8:9" x14ac:dyDescent="0.3">
      <c r="H56" s="52">
        <v>45162</v>
      </c>
      <c r="I56" s="50" t="str">
        <f t="shared" si="0"/>
        <v>2023-08-24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M5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3" s="42" customFormat="1" ht="21" x14ac:dyDescent="0.4">
      <c r="A1" s="43" t="s">
        <v>56</v>
      </c>
      <c r="B1" s="42" t="s">
        <v>172</v>
      </c>
    </row>
    <row r="2" spans="1:13" customFormat="1" ht="13.2" x14ac:dyDescent="0.25"/>
    <row r="3" spans="1:13" s="2" customFormat="1" x14ac:dyDescent="0.3">
      <c r="B3" s="1"/>
    </row>
    <row r="4" spans="1:13" s="2" customFormat="1" x14ac:dyDescent="0.3">
      <c r="B4" s="1" t="s">
        <v>149</v>
      </c>
    </row>
    <row r="5" spans="1:13" ht="18" x14ac:dyDescent="0.35">
      <c r="A5" s="44" t="s">
        <v>53</v>
      </c>
      <c r="B5" s="41"/>
      <c r="C5" s="41" t="s">
        <v>190</v>
      </c>
      <c r="D5" s="41"/>
      <c r="E5" s="41"/>
      <c r="F5" s="41"/>
      <c r="G5" s="41"/>
      <c r="H5" s="41"/>
      <c r="I5" s="41"/>
      <c r="J5" s="41"/>
      <c r="K5" s="41"/>
      <c r="L5" s="41"/>
      <c r="M5" s="41"/>
    </row>
    <row r="6" spans="1:13" ht="18" x14ac:dyDescent="0.35">
      <c r="A6" s="44" t="s">
        <v>151</v>
      </c>
      <c r="B6" s="41" t="s">
        <v>187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</row>
    <row r="7" spans="1:13" ht="18" x14ac:dyDescent="0.35">
      <c r="A7" s="44"/>
      <c r="B7" s="41"/>
    </row>
    <row r="9" spans="1:13" ht="23.4" x14ac:dyDescent="0.45">
      <c r="A9" s="18" t="s">
        <v>163</v>
      </c>
      <c r="I9" s="2"/>
      <c r="J9" s="2"/>
    </row>
    <row r="10" spans="1:13" x14ac:dyDescent="0.3">
      <c r="A10" s="34" t="s">
        <v>100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3" x14ac:dyDescent="0.3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3" ht="23.4" x14ac:dyDescent="0.45">
      <c r="A14" s="18" t="s">
        <v>160</v>
      </c>
    </row>
    <row r="15" spans="1:13" x14ac:dyDescent="0.3">
      <c r="A15" s="14" t="s">
        <v>101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3" x14ac:dyDescent="0.3">
      <c r="A16" s="7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118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J24" sqref="J2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162</v>
      </c>
    </row>
    <row r="2" spans="1:7" s="42" customFormat="1" ht="21" x14ac:dyDescent="0.4">
      <c r="B2" s="42" t="s">
        <v>159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160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VLOOKUP(A6,Dataset!$A$2:$Y$40,7,0)</f>
        <v>2.7</v>
      </c>
      <c r="C6" s="12">
        <f>VLOOKUP(A6,Dataset!$A$2:$Y$40,14,0)</f>
        <v>7.6</v>
      </c>
      <c r="D6" s="12">
        <f>VLOOKUP(Task_2!A6,Dataset!$A$2:$Y$40,18,0)</f>
        <v>4.2</v>
      </c>
      <c r="E6" s="12">
        <f>VLOOKUP(A6,Dataset!$A$2:$Y$40,20,0)</f>
        <v>8.9</v>
      </c>
      <c r="F6" s="8">
        <f>VLOOKUP(A6,Dataset!$A$2:$Y$40,22,0)</f>
        <v>4.2</v>
      </c>
    </row>
    <row r="7" spans="1:7" ht="14.4" x14ac:dyDescent="0.3">
      <c r="A7" s="7" t="s">
        <v>4</v>
      </c>
      <c r="B7" s="12">
        <f>VLOOKUP(A7,Dataset!$A$2:$Y$40,7,0)</f>
        <v>2.7</v>
      </c>
      <c r="C7" s="12">
        <f>VLOOKUP(A7,Dataset!$A$2:$Y$40,14,0)</f>
        <v>7.6</v>
      </c>
      <c r="D7" s="12">
        <f>VLOOKUP(Task_2!A7,Dataset!$A$2:$Y$40,18,0)</f>
        <v>4.2</v>
      </c>
      <c r="E7" s="12">
        <f>VLOOKUP(A7,Dataset!$A$2:$Y$40,20,0)</f>
        <v>8.9</v>
      </c>
      <c r="F7" s="8">
        <f>VLOOKUP(A7,Dataset!$A$2:$Y$40,22,0)</f>
        <v>4.2</v>
      </c>
    </row>
    <row r="8" spans="1:7" ht="14.4" x14ac:dyDescent="0.3">
      <c r="A8" s="7" t="s">
        <v>7</v>
      </c>
      <c r="B8" s="12">
        <f>VLOOKUP(A8,Dataset!$A$2:$Y$40,7,0)</f>
        <v>3.6</v>
      </c>
      <c r="C8" s="12">
        <f>VLOOKUP(A8,Dataset!$A$2:$Y$40,14,0)</f>
        <v>11.1</v>
      </c>
      <c r="D8" s="12">
        <f>VLOOKUP(Task_2!A8,Dataset!$A$2:$Y$40,18,0)</f>
        <v>5.8</v>
      </c>
      <c r="E8" s="12">
        <f>VLOOKUP(A8,Dataset!$A$2:$Y$40,20,0)</f>
        <v>12.2</v>
      </c>
      <c r="F8" s="8">
        <f>VLOOKUP(A8,Dataset!$A$2:$Y$40,22,0)</f>
        <v>5.8</v>
      </c>
    </row>
    <row r="9" spans="1:7" ht="14.4" x14ac:dyDescent="0.3">
      <c r="A9" s="7" t="s">
        <v>8</v>
      </c>
      <c r="B9" s="12">
        <f>VLOOKUP(A9,Dataset!$A$2:$Y$40,7,0)</f>
        <v>4.9000000000000004</v>
      </c>
      <c r="C9" s="12">
        <f>VLOOKUP(A9,Dataset!$A$2:$Y$40,14,0)</f>
        <v>13.3</v>
      </c>
      <c r="D9" s="12">
        <f>VLOOKUP(Task_2!A9,Dataset!$A$2:$Y$40,18,0)</f>
        <v>8.1</v>
      </c>
      <c r="E9" s="12">
        <f>VLOOKUP(A9,Dataset!$A$2:$Y$40,20,0)</f>
        <v>17</v>
      </c>
      <c r="F9" s="8">
        <f>VLOOKUP(A9,Dataset!$A$2:$Y$40,22,0)</f>
        <v>8.1</v>
      </c>
    </row>
    <row r="10" spans="1:7" ht="14.4" x14ac:dyDescent="0.3">
      <c r="A10" s="7" t="s">
        <v>11</v>
      </c>
      <c r="B10" s="12">
        <f>VLOOKUP(A10,Dataset!$A$2:$Y$40,7,0)</f>
        <v>9.4</v>
      </c>
      <c r="C10" s="12">
        <f>VLOOKUP(A10,Dataset!$A$2:$Y$40,14,0)</f>
        <v>28.3</v>
      </c>
      <c r="D10" s="12">
        <f>VLOOKUP(Task_2!A10,Dataset!$A$2:$Y$40,18,0)</f>
        <v>16.100000000000001</v>
      </c>
      <c r="E10" s="12">
        <f>VLOOKUP(A10,Dataset!$A$2:$Y$40,20,0)</f>
        <v>32.799999999999997</v>
      </c>
      <c r="F10" s="8">
        <f>VLOOKUP(A10,Dataset!$A$2:$Y$40,22,0)</f>
        <v>16.100000000000001</v>
      </c>
    </row>
    <row r="11" spans="1:7" ht="14.4" x14ac:dyDescent="0.3">
      <c r="A11" s="7" t="s">
        <v>12</v>
      </c>
      <c r="B11" s="12">
        <f>VLOOKUP(A11,Dataset!$A$2:$Y$40,7,0)</f>
        <v>11.6</v>
      </c>
      <c r="C11" s="12">
        <f>VLOOKUP(A11,Dataset!$A$2:$Y$40,14,0)</f>
        <v>35.200000000000003</v>
      </c>
      <c r="D11" s="12">
        <f>VLOOKUP(Task_2!A11,Dataset!$A$2:$Y$40,18,0)</f>
        <v>21.3</v>
      </c>
      <c r="E11" s="12">
        <f>VLOOKUP(A11,Dataset!$A$2:$Y$40,20,0)</f>
        <v>43</v>
      </c>
      <c r="F11" s="8">
        <f>VLOOKUP(A11,Dataset!$A$2:$Y$40,22,0)</f>
        <v>21.3</v>
      </c>
    </row>
    <row r="12" spans="1:7" ht="14.4" x14ac:dyDescent="0.3">
      <c r="A12" s="7" t="s">
        <v>14</v>
      </c>
      <c r="B12" s="12">
        <f>VLOOKUP(A12,Dataset!$A$2:$Y$40,7,0)</f>
        <v>18.399999999999999</v>
      </c>
      <c r="C12" s="12">
        <f>VLOOKUP(A12,Dataset!$A$2:$Y$40,14,0)</f>
        <v>55.6</v>
      </c>
      <c r="D12" s="12">
        <f>VLOOKUP(Task_2!A12,Dataset!$A$2:$Y$40,18,0)</f>
        <v>33.799999999999997</v>
      </c>
      <c r="E12" s="12">
        <f>VLOOKUP(A12,Dataset!$A$2:$Y$40,20,0)</f>
        <v>67.900000000000006</v>
      </c>
      <c r="F12" s="8">
        <f>VLOOKUP(A12,Dataset!$A$2:$Y$40,22,0)</f>
        <v>33.799999999999997</v>
      </c>
    </row>
    <row r="13" spans="1:7" ht="14.4" x14ac:dyDescent="0.3">
      <c r="A13" s="7" t="s">
        <v>15</v>
      </c>
      <c r="B13" s="12">
        <f>VLOOKUP(A13,Dataset!$A$2:$Y$40,7,0)</f>
        <v>0</v>
      </c>
      <c r="C13" s="12">
        <f>VLOOKUP(A13,Dataset!$A$2:$Y$40,14,0)</f>
        <v>0</v>
      </c>
      <c r="D13" s="12">
        <f>VLOOKUP(Task_2!A13,Dataset!$A$2:$Y$40,18,0)</f>
        <v>0</v>
      </c>
      <c r="E13" s="12">
        <f>VLOOKUP(A13,Dataset!$A$2:$Y$40,20,0)</f>
        <v>0</v>
      </c>
      <c r="F13" s="8">
        <f>VLOOKUP(A13,Dataset!$A$2:$Y$40,22,0)</f>
        <v>0</v>
      </c>
    </row>
    <row r="14" spans="1:7" ht="14.4" x14ac:dyDescent="0.3">
      <c r="A14" s="7" t="s">
        <v>16</v>
      </c>
      <c r="B14" s="12">
        <f>VLOOKUP(A14,Dataset!$A$2:$Y$40,7,0)</f>
        <v>21.9</v>
      </c>
      <c r="C14" s="12">
        <f>VLOOKUP(A14,Dataset!$A$2:$Y$40,14,0)</f>
        <v>61.5</v>
      </c>
      <c r="D14" s="12">
        <f>VLOOKUP(Task_2!A14,Dataset!$A$2:$Y$40,18,0)</f>
        <v>40.1</v>
      </c>
      <c r="E14" s="12">
        <f>VLOOKUP(A14,Dataset!$A$2:$Y$40,20,0)</f>
        <v>76.599999999999994</v>
      </c>
      <c r="F14" s="8">
        <f>VLOOKUP(A14,Dataset!$A$2:$Y$40,22,0)</f>
        <v>40.1</v>
      </c>
    </row>
    <row r="15" spans="1:7" ht="14.4" x14ac:dyDescent="0.3">
      <c r="A15" s="7" t="s">
        <v>18</v>
      </c>
      <c r="B15" s="12">
        <f>VLOOKUP(A15,Dataset!$A$2:$Y$40,7,0)</f>
        <v>26.8</v>
      </c>
      <c r="C15" s="12">
        <f>VLOOKUP(A15,Dataset!$A$2:$Y$40,14,0)</f>
        <v>79.599999999999994</v>
      </c>
      <c r="D15" s="12">
        <f>VLOOKUP(Task_2!A15,Dataset!$A$2:$Y$40,18,0)</f>
        <v>47.9</v>
      </c>
      <c r="E15" s="12">
        <f>VLOOKUP(A15,Dataset!$A$2:$Y$40,20,0)</f>
        <v>96.8</v>
      </c>
      <c r="F15" s="8">
        <f>VLOOKUP(A15,Dataset!$A$2:$Y$40,22,0)</f>
        <v>47.9</v>
      </c>
    </row>
    <row r="16" spans="1:7" ht="14.4" x14ac:dyDescent="0.3">
      <c r="A16" s="7" t="s">
        <v>20</v>
      </c>
      <c r="B16" s="12">
        <f>VLOOKUP(A16,Dataset!$A$2:$Y$40,7,0)</f>
        <v>28.5</v>
      </c>
      <c r="C16" s="12">
        <f>VLOOKUP(A16,Dataset!$A$2:$Y$40,14,0)</f>
        <v>85.4</v>
      </c>
      <c r="D16" s="12">
        <f>VLOOKUP(Task_2!A16,Dataset!$A$2:$Y$40,18,0)</f>
        <v>52.3</v>
      </c>
      <c r="E16" s="12">
        <f>VLOOKUP(A16,Dataset!$A$2:$Y$40,20,0)</f>
        <v>106.1</v>
      </c>
      <c r="F16" s="8">
        <f>VLOOKUP(A16,Dataset!$A$2:$Y$40,22,0)</f>
        <v>52.3</v>
      </c>
    </row>
    <row r="17" spans="1:6" ht="14.4" x14ac:dyDescent="0.3">
      <c r="A17" s="7" t="s">
        <v>22</v>
      </c>
      <c r="B17" s="12">
        <f>VLOOKUP(A17,Dataset!$A$2:$Y$40,7,0)</f>
        <v>30.7</v>
      </c>
      <c r="C17" s="12">
        <f>VLOOKUP(A17,Dataset!$A$2:$Y$40,14,0)</f>
        <v>92.1</v>
      </c>
      <c r="D17" s="12">
        <f>VLOOKUP(Task_2!A17,Dataset!$A$2:$Y$40,18,0)</f>
        <v>57</v>
      </c>
      <c r="E17" s="12">
        <f>VLOOKUP(A17,Dataset!$A$2:$Y$40,20,0)</f>
        <v>115.1</v>
      </c>
      <c r="F17" s="8">
        <f>VLOOKUP(A17,Dataset!$A$2:$Y$40,22,0)</f>
        <v>57</v>
      </c>
    </row>
    <row r="18" spans="1:6" ht="14.4" x14ac:dyDescent="0.3">
      <c r="A18" s="7" t="s">
        <v>23</v>
      </c>
      <c r="B18" s="12">
        <f>VLOOKUP(A18,Dataset!$A$2:$Y$40,7,0)</f>
        <v>33.799999999999997</v>
      </c>
      <c r="C18" s="12">
        <f>VLOOKUP(A18,Dataset!$A$2:$Y$40,14,0)</f>
        <v>101.3</v>
      </c>
      <c r="D18" s="12">
        <f>VLOOKUP(Task_2!A18,Dataset!$A$2:$Y$40,18,0)</f>
        <v>61.4</v>
      </c>
      <c r="E18" s="12">
        <f>VLOOKUP(A18,Dataset!$A$2:$Y$40,20,0)</f>
        <v>124.4</v>
      </c>
      <c r="F18" s="8">
        <f>VLOOKUP(A18,Dataset!$A$2:$Y$40,22,0)</f>
        <v>61.4</v>
      </c>
    </row>
    <row r="19" spans="1:6" ht="14.4" x14ac:dyDescent="0.3">
      <c r="A19" s="7" t="s">
        <v>24</v>
      </c>
      <c r="B19" s="12">
        <f>VLOOKUP(A19,Dataset!$A$2:$Y$40,7,0)</f>
        <v>34.700000000000003</v>
      </c>
      <c r="C19" s="12">
        <f>VLOOKUP(A19,Dataset!$A$2:$Y$40,14,0)</f>
        <v>106.1</v>
      </c>
      <c r="D19" s="12">
        <f>VLOOKUP(Task_2!A19,Dataset!$A$2:$Y$40,18,0)</f>
        <v>63.6</v>
      </c>
      <c r="E19" s="12">
        <f>VLOOKUP(A19,Dataset!$A$2:$Y$40,20,0)</f>
        <v>128.6</v>
      </c>
      <c r="F19" s="8">
        <f>VLOOKUP(A19,Dataset!$A$2:$Y$40,22,0)</f>
        <v>63.6</v>
      </c>
    </row>
    <row r="20" spans="1:6" ht="14.4" x14ac:dyDescent="0.3">
      <c r="A20" s="7" t="s">
        <v>28</v>
      </c>
      <c r="B20" s="12">
        <f>VLOOKUP(A20,Dataset!$A$2:$Y$40,7,0)</f>
        <v>0</v>
      </c>
      <c r="C20" s="12">
        <f>VLOOKUP(A20,Dataset!$A$2:$Y$40,14,0)</f>
        <v>0</v>
      </c>
      <c r="D20" s="12">
        <f>VLOOKUP(Task_2!A20,Dataset!$A$2:$Y$40,18,0)</f>
        <v>0</v>
      </c>
      <c r="E20" s="12">
        <f>VLOOKUP(A20,Dataset!$A$2:$Y$40,20,0)</f>
        <v>0</v>
      </c>
      <c r="F20" s="8">
        <f>VLOOKUP(A20,Dataset!$A$2:$Y$40,22,0)</f>
        <v>0</v>
      </c>
    </row>
    <row r="21" spans="1:6" ht="14.4" x14ac:dyDescent="0.3">
      <c r="A21" s="7" t="s">
        <v>57</v>
      </c>
      <c r="B21" s="12">
        <f>VLOOKUP(A21,Dataset!$A$2:$Y$40,7,0)</f>
        <v>41.3</v>
      </c>
      <c r="C21" s="12">
        <f>VLOOKUP(A21,Dataset!$A$2:$Y$40,14,0)</f>
        <v>124.4</v>
      </c>
      <c r="D21" s="12">
        <f>VLOOKUP(Task_2!A21,Dataset!$A$2:$Y$40,18,0)</f>
        <v>75</v>
      </c>
      <c r="E21" s="12">
        <f>VLOOKUP(A21,Dataset!$A$2:$Y$40,20,0)</f>
        <v>151.5</v>
      </c>
      <c r="F21" s="8">
        <f>VLOOKUP(A21,Dataset!$A$2:$Y$40,22,0)</f>
        <v>75</v>
      </c>
    </row>
    <row r="22" spans="1:6" ht="14.4" x14ac:dyDescent="0.3">
      <c r="A22" s="7" t="s">
        <v>58</v>
      </c>
      <c r="B22" s="12">
        <f>VLOOKUP(A22,Dataset!$A$2:$Y$40,7,0)</f>
        <v>-1</v>
      </c>
      <c r="C22" s="12">
        <f>VLOOKUP(A22,Dataset!$A$2:$Y$40,14,0)</f>
        <v>-1</v>
      </c>
      <c r="D22" s="12">
        <f>VLOOKUP(Task_2!A22,Dataset!$A$2:$Y$40,18,0)</f>
        <v>-1</v>
      </c>
      <c r="E22" s="12">
        <f>VLOOKUP(A22,Dataset!$A$2:$Y$40,20,0)</f>
        <v>-1</v>
      </c>
      <c r="F22" s="8">
        <f>VLOOKUP(A22,Dataset!$A$2:$Y$40,22,0)</f>
        <v>-1</v>
      </c>
    </row>
    <row r="23" spans="1:6" ht="14.4" x14ac:dyDescent="0.3">
      <c r="A23" s="7" t="s">
        <v>31</v>
      </c>
      <c r="B23" s="12">
        <f>VLOOKUP(A23,Dataset!$A$2:$Y$40,7,0)</f>
        <v>45</v>
      </c>
      <c r="C23" s="12">
        <f>VLOOKUP(A23,Dataset!$A$2:$Y$40,14,0)</f>
        <v>133.4</v>
      </c>
      <c r="D23" s="12">
        <f>VLOOKUP(Task_2!A23,Dataset!$A$2:$Y$40,18,0)</f>
        <v>79.400000000000006</v>
      </c>
      <c r="E23" s="12">
        <f>VLOOKUP(A23,Dataset!$A$2:$Y$40,20,0)</f>
        <v>160.9</v>
      </c>
      <c r="F23" s="8">
        <f>VLOOKUP(A23,Dataset!$A$2:$Y$40,22,0)</f>
        <v>79.400000000000006</v>
      </c>
    </row>
    <row r="24" spans="1:6" ht="14.4" x14ac:dyDescent="0.3">
      <c r="A24" s="7" t="s">
        <v>32</v>
      </c>
      <c r="B24" s="12">
        <f>VLOOKUP(A24,Dataset!$A$2:$Y$40,7,0)</f>
        <v>-1</v>
      </c>
      <c r="C24" s="12">
        <f>VLOOKUP(A24,Dataset!$A$2:$Y$40,14,0)</f>
        <v>-1</v>
      </c>
      <c r="D24" s="12">
        <f>VLOOKUP(Task_2!A24,Dataset!$A$2:$Y$40,18,0)</f>
        <v>-1</v>
      </c>
      <c r="E24" s="12">
        <f>VLOOKUP(A24,Dataset!$A$2:$Y$40,20,0)</f>
        <v>-1</v>
      </c>
      <c r="F24" s="8">
        <f>VLOOKUP(A24,Dataset!$A$2:$Y$40,22,0)</f>
        <v>-1</v>
      </c>
    </row>
    <row r="25" spans="1:6" ht="14.4" x14ac:dyDescent="0.3">
      <c r="A25" s="7" t="s">
        <v>34</v>
      </c>
      <c r="B25" s="12">
        <f>VLOOKUP(A25,Dataset!$A$2:$Y$40,7,0)</f>
        <v>43.3</v>
      </c>
      <c r="C25" s="12">
        <f>VLOOKUP(A25,Dataset!$A$2:$Y$40,14,0)</f>
        <v>128.6</v>
      </c>
      <c r="D25" s="12">
        <f>VLOOKUP(Task_2!A25,Dataset!$A$2:$Y$40,18,0)</f>
        <v>79.400000000000006</v>
      </c>
      <c r="E25" s="12">
        <f>VLOOKUP(A25,Dataset!$A$2:$Y$40,20,0)</f>
        <v>160.9</v>
      </c>
      <c r="F25" s="8">
        <f>VLOOKUP(A25,Dataset!$A$2:$Y$40,22,0)</f>
        <v>79.400000000000006</v>
      </c>
    </row>
    <row r="26" spans="1:6" ht="14.4" x14ac:dyDescent="0.3">
      <c r="A26" s="7" t="s">
        <v>37</v>
      </c>
      <c r="B26" s="12">
        <f>VLOOKUP(A26,Dataset!$A$2:$Y$40,7,0)</f>
        <v>49.1</v>
      </c>
      <c r="C26" s="12">
        <f>VLOOKUP(A26,Dataset!$A$2:$Y$40,14,0)</f>
        <v>146.80000000000001</v>
      </c>
      <c r="D26" s="12">
        <f>VLOOKUP(Task_2!A26,Dataset!$A$2:$Y$40,18,0)</f>
        <v>90.9</v>
      </c>
      <c r="E26" s="12">
        <f>VLOOKUP(A26,Dataset!$A$2:$Y$40,20,0)</f>
        <v>183.5</v>
      </c>
      <c r="F26" s="8">
        <f>VLOOKUP(A26,Dataset!$A$2:$Y$40,22,0)</f>
        <v>90.9</v>
      </c>
    </row>
    <row r="27" spans="1:6" ht="14.4" x14ac:dyDescent="0.3">
      <c r="A27" s="7" t="s">
        <v>39</v>
      </c>
      <c r="B27" s="12">
        <f>VLOOKUP(A27,Dataset!$A$2:$Y$40,7,0)</f>
        <v>51.8</v>
      </c>
      <c r="C27" s="12">
        <f>VLOOKUP(A27,Dataset!$A$2:$Y$40,14,0)</f>
        <v>156.4</v>
      </c>
      <c r="D27" s="12">
        <f>VLOOKUP(Task_2!A27,Dataset!$A$2:$Y$40,18,0)</f>
        <v>93.1</v>
      </c>
      <c r="E27" s="12">
        <f>VLOOKUP(A27,Dataset!$A$2:$Y$40,20,0)</f>
        <v>188.1</v>
      </c>
      <c r="F27" s="8">
        <f>VLOOKUP(A27,Dataset!$A$2:$Y$40,22,0)</f>
        <v>93.1</v>
      </c>
    </row>
    <row r="28" spans="1:6" ht="14.4" x14ac:dyDescent="0.3">
      <c r="A28" s="19" t="s">
        <v>82</v>
      </c>
      <c r="B28" s="32">
        <f>MIN(B6:B27)</f>
        <v>-1</v>
      </c>
      <c r="C28" s="32">
        <f t="shared" ref="C28:F28" si="0">MIN(C6:C27)</f>
        <v>-1</v>
      </c>
      <c r="D28" s="32">
        <f t="shared" si="0"/>
        <v>-1</v>
      </c>
      <c r="E28" s="32">
        <f t="shared" si="0"/>
        <v>-1</v>
      </c>
      <c r="F28" s="32">
        <f t="shared" si="0"/>
        <v>-1</v>
      </c>
    </row>
    <row r="29" spans="1:6" ht="14.4" x14ac:dyDescent="0.3">
      <c r="A29" s="19" t="s">
        <v>83</v>
      </c>
      <c r="B29" s="32">
        <f>MAX(B6:B27)</f>
        <v>51.8</v>
      </c>
      <c r="C29" s="32">
        <f t="shared" ref="C29:F29" si="1">MAX(C6:C27)</f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</row>
    <row r="30" spans="1:6" ht="14.4" x14ac:dyDescent="0.3">
      <c r="A30" s="19" t="s">
        <v>84</v>
      </c>
      <c r="B30" s="32">
        <f>AVERAGE(B6:B27)</f>
        <v>20.827272727272728</v>
      </c>
      <c r="C30" s="32">
        <f t="shared" ref="C30:F30" si="2">AVERAGE(C6:C27)</f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3" t="s">
        <v>85</v>
      </c>
      <c r="B1" s="42" t="s">
        <v>165</v>
      </c>
    </row>
    <row r="2" spans="1:4" ht="18" x14ac:dyDescent="0.35">
      <c r="B2" s="41" t="s">
        <v>164</v>
      </c>
    </row>
    <row r="5" spans="1:4" ht="14.4" x14ac:dyDescent="0.3">
      <c r="B5" s="1" t="s">
        <v>149</v>
      </c>
    </row>
    <row r="6" spans="1:4" ht="14.4" x14ac:dyDescent="0.3">
      <c r="A6" s="3" t="s">
        <v>53</v>
      </c>
      <c r="B6" s="1" t="s">
        <v>189</v>
      </c>
    </row>
    <row r="7" spans="1:4" ht="14.4" x14ac:dyDescent="0.3">
      <c r="A7" s="3" t="s">
        <v>151</v>
      </c>
      <c r="B7" s="1"/>
    </row>
    <row r="10" spans="1:4" ht="23.4" x14ac:dyDescent="0.45">
      <c r="A10" s="18" t="s">
        <v>160</v>
      </c>
    </row>
    <row r="11" spans="1:4" ht="14.4" x14ac:dyDescent="0.3">
      <c r="A11" s="33" t="s">
        <v>86</v>
      </c>
      <c r="B11" s="33" t="s">
        <v>86</v>
      </c>
      <c r="C11" s="33" t="s">
        <v>86</v>
      </c>
      <c r="D11" s="2" t="s">
        <v>188</v>
      </c>
    </row>
    <row r="12" spans="1:4" ht="14.4" x14ac:dyDescent="0.3">
      <c r="A12" s="33">
        <v>44927</v>
      </c>
      <c r="B12" s="17" t="s">
        <v>59</v>
      </c>
      <c r="C12" s="17">
        <v>200</v>
      </c>
      <c r="D12" s="2">
        <f>IFERROR(C12, 20)</f>
        <v>200</v>
      </c>
    </row>
    <row r="13" spans="1:4" ht="14.4" x14ac:dyDescent="0.3">
      <c r="A13" s="33">
        <v>44928</v>
      </c>
      <c r="B13" s="17" t="s">
        <v>60</v>
      </c>
      <c r="C13" s="17" t="e">
        <v>#N/A</v>
      </c>
      <c r="D13" s="2">
        <f t="shared" ref="D13:D21" si="0">IFERROR(C13, 20)</f>
        <v>20</v>
      </c>
    </row>
    <row r="14" spans="1:4" ht="14.4" x14ac:dyDescent="0.3">
      <c r="A14" s="33">
        <v>44929</v>
      </c>
      <c r="B14" s="17" t="s">
        <v>61</v>
      </c>
      <c r="C14" s="17">
        <v>50</v>
      </c>
      <c r="D14" s="2">
        <f t="shared" si="0"/>
        <v>50</v>
      </c>
    </row>
    <row r="15" spans="1:4" ht="14.4" x14ac:dyDescent="0.3">
      <c r="A15" s="33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4.4" x14ac:dyDescent="0.3">
      <c r="A16" s="33">
        <v>44931</v>
      </c>
      <c r="B16" s="17" t="s">
        <v>63</v>
      </c>
      <c r="C16" s="17">
        <v>10</v>
      </c>
      <c r="D16" s="2">
        <f t="shared" si="0"/>
        <v>10</v>
      </c>
    </row>
    <row r="17" spans="1:4" ht="14.4" x14ac:dyDescent="0.3">
      <c r="A17" s="33">
        <v>44932</v>
      </c>
      <c r="B17" s="17" t="s">
        <v>152</v>
      </c>
      <c r="C17" s="17">
        <v>150</v>
      </c>
      <c r="D17" s="2">
        <f t="shared" si="0"/>
        <v>150</v>
      </c>
    </row>
    <row r="18" spans="1:4" ht="14.4" x14ac:dyDescent="0.3">
      <c r="A18" s="33">
        <v>44933</v>
      </c>
      <c r="B18" s="17" t="s">
        <v>153</v>
      </c>
      <c r="C18" s="17">
        <v>80</v>
      </c>
      <c r="D18" s="2">
        <f t="shared" si="0"/>
        <v>80</v>
      </c>
    </row>
    <row r="19" spans="1:4" ht="14.4" x14ac:dyDescent="0.3">
      <c r="A19" s="33">
        <v>44934</v>
      </c>
      <c r="B19" s="17" t="s">
        <v>154</v>
      </c>
      <c r="C19" s="17" t="e">
        <v>#N/A</v>
      </c>
      <c r="D19" s="2">
        <f t="shared" si="0"/>
        <v>20</v>
      </c>
    </row>
    <row r="20" spans="1:4" ht="14.4" x14ac:dyDescent="0.3">
      <c r="A20" s="33">
        <v>44935</v>
      </c>
      <c r="B20" s="17" t="s">
        <v>155</v>
      </c>
      <c r="C20" s="17">
        <v>30</v>
      </c>
      <c r="D20" s="2">
        <f t="shared" si="0"/>
        <v>30</v>
      </c>
    </row>
    <row r="21" spans="1:4" ht="14.4" x14ac:dyDescent="0.3">
      <c r="A21" s="33">
        <v>44936</v>
      </c>
      <c r="B21" s="17" t="s">
        <v>156</v>
      </c>
      <c r="C21" s="17" t="e">
        <v>#N/A</v>
      </c>
      <c r="D21" s="2">
        <f t="shared" si="0"/>
        <v>20</v>
      </c>
    </row>
    <row r="22" spans="1:4" ht="14.4" x14ac:dyDescent="0.3">
      <c r="B22" s="17" t="s">
        <v>157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H26" sqref="H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96</v>
      </c>
      <c r="B1" s="42" t="s">
        <v>173</v>
      </c>
    </row>
    <row r="3" spans="1:14" ht="14.4" x14ac:dyDescent="0.3">
      <c r="B3" s="1" t="s">
        <v>149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151</v>
      </c>
      <c r="B5" s="1"/>
    </row>
    <row r="6" spans="1:14" ht="14.4" x14ac:dyDescent="0.3">
      <c r="A6" s="3"/>
      <c r="B6" s="1"/>
    </row>
    <row r="8" spans="1:14" ht="23.4" x14ac:dyDescent="0.45">
      <c r="A8" s="18" t="s">
        <v>160</v>
      </c>
      <c r="M8" s="18" t="s">
        <v>161</v>
      </c>
    </row>
    <row r="9" spans="1:14" ht="14.4" x14ac:dyDescent="0.3">
      <c r="A9" s="26"/>
      <c r="B9" s="26" t="s">
        <v>87</v>
      </c>
      <c r="C9" s="26" t="s">
        <v>88</v>
      </c>
      <c r="D9" s="26" t="s">
        <v>89</v>
      </c>
      <c r="E9" s="26" t="s">
        <v>90</v>
      </c>
      <c r="F9" s="26" t="s">
        <v>91</v>
      </c>
      <c r="G9" s="26" t="s">
        <v>92</v>
      </c>
      <c r="H9" s="26" t="s">
        <v>93</v>
      </c>
      <c r="I9" s="26" t="s">
        <v>94</v>
      </c>
      <c r="J9" s="26" t="s">
        <v>95</v>
      </c>
      <c r="M9" s="19" t="s">
        <v>43</v>
      </c>
      <c r="N9" s="19" t="s">
        <v>97</v>
      </c>
    </row>
    <row r="10" spans="1:14" ht="14.4" x14ac:dyDescent="0.3">
      <c r="A10" s="26" t="s">
        <v>87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87</v>
      </c>
    </row>
    <row r="11" spans="1:14" ht="14.4" x14ac:dyDescent="0.3">
      <c r="A11" s="26" t="s">
        <v>88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88</v>
      </c>
    </row>
    <row r="12" spans="1:14" ht="14.4" x14ac:dyDescent="0.3">
      <c r="A12" s="26" t="s">
        <v>89</v>
      </c>
      <c r="B12" s="25">
        <v>-1</v>
      </c>
      <c r="C12" s="25"/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89</v>
      </c>
    </row>
    <row r="13" spans="1:14" ht="14.4" x14ac:dyDescent="0.3">
      <c r="A13" s="26" t="s">
        <v>90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90</v>
      </c>
    </row>
    <row r="14" spans="1:14" ht="14.4" x14ac:dyDescent="0.3">
      <c r="A14" s="26" t="s">
        <v>91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91</v>
      </c>
    </row>
    <row r="15" spans="1:14" ht="14.4" x14ac:dyDescent="0.3">
      <c r="A15" s="26" t="s">
        <v>92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92</v>
      </c>
    </row>
    <row r="16" spans="1:14" ht="14.4" x14ac:dyDescent="0.3">
      <c r="A16" s="26" t="s">
        <v>93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93</v>
      </c>
    </row>
    <row r="17" spans="1:14" ht="14.4" x14ac:dyDescent="0.3">
      <c r="A17" s="26" t="s">
        <v>94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94</v>
      </c>
    </row>
    <row r="18" spans="1:14" ht="14.4" x14ac:dyDescent="0.3">
      <c r="A18" s="26" t="s">
        <v>95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95</v>
      </c>
    </row>
    <row r="21" spans="1:14" ht="23.4" x14ac:dyDescent="0.45">
      <c r="A21" s="18" t="s">
        <v>166</v>
      </c>
    </row>
    <row r="22" spans="1:14" ht="14.4" x14ac:dyDescent="0.3">
      <c r="A22" s="14" t="s">
        <v>98</v>
      </c>
      <c r="B22" s="17" t="s">
        <v>99</v>
      </c>
      <c r="C22" s="16" t="s">
        <v>100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Task_3</vt:lpstr>
      <vt:lpstr>Task_2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Harsh</cp:lastModifiedBy>
  <dcterms:created xsi:type="dcterms:W3CDTF">2015-02-10T17:33:11Z</dcterms:created>
  <dcterms:modified xsi:type="dcterms:W3CDTF">2024-10-23T13:11:13Z</dcterms:modified>
</cp:coreProperties>
</file>